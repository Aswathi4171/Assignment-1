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4\Documents\"/>
    </mc:Choice>
  </mc:AlternateContent>
  <xr:revisionPtr revIDLastSave="0" documentId="13_ncr:1_{D02E5FD7-95D7-48F3-A290-278FE2EEC3E6}" xr6:coauthVersionLast="47" xr6:coauthVersionMax="47" xr10:uidLastSave="{00000000-0000-0000-0000-000000000000}"/>
  <bookViews>
    <workbookView xWindow="-108" yWindow="-108" windowWidth="23256" windowHeight="12576" xr2:uid="{9BA93061-BC5E-4014-B137-E0CAB7224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  <c r="E53" i="1"/>
  <c r="B48" i="1"/>
  <c r="B4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  <c r="C43" i="1"/>
  <c r="C42" i="1"/>
  <c r="C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<sst xmlns="http://schemas.openxmlformats.org/spreadsheetml/2006/main" count="157" uniqueCount="107">
  <si>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</si>
  <si>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</si>
  <si>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</si>
  <si>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</si>
  <si>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</si>
  <si>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</si>
  <si>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</si>
  <si>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</si>
  <si>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</si>
  <si>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</si>
  <si>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</si>
  <si>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</si>
  <si>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</si>
  <si>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</si>
  <si>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</si>
  <si>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</si>
  <si>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</si>
  <si>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</si>
  <si>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</si>
  <si>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</si>
  <si>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</si>
  <si>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</si>
  <si>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</si>
  <si>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</si>
  <si>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</si>
  <si>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</si>
  <si>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</si>
  <si>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</si>
  <si>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</si>
  <si>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</si>
  <si>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</si>
  <si>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</si>
  <si>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</si>
  <si>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</si>
  <si>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</si>
  <si>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</si>
  <si>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</si>
  <si>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</si>
  <si>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</si>
  <si>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</si>
  <si>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</si>
  <si>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</si>
  <si>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</si>
  <si>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</si>
  <si>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</si>
  <si>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</si>
  <si>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</si>
  <si>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</si>
  <si>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</si>
  <si>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</si>
  <si>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</si>
  <si>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</si>
  <si>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</si>
  <si>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</si>
  <si>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</si>
  <si>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</si>
  <si>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</si>
  <si>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</si>
  <si>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</si>
  <si>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</si>
  <si>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</si>
  <si>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</si>
  <si>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</si>
  <si>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</si>
  <si>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</si>
  <si>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</si>
  <si>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</si>
  <si>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</si>
  <si>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</si>
  <si>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</si>
  <si>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</si>
  <si>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</si>
  <si>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</si>
  <si>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</si>
  <si>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</si>
  <si>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</si>
  <si>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</si>
  <si>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</si>
  <si>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</si>
  <si>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</si>
  <si>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</si>
  <si>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</si>
  <si>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</si>
  <si>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</si>
  <si>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</si>
  <si>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</si>
  <si>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</si>
  <si>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</si>
  <si>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</si>
  <si>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</si>
  <si>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</si>
  <si>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</si>
  <si>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</si>
  <si>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</si>
  <si>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amount</t>
  </si>
  <si>
    <t>Total price of all product</t>
  </si>
  <si>
    <t>Number of product</t>
  </si>
  <si>
    <t>Average price of the product</t>
  </si>
  <si>
    <t>Day</t>
  </si>
  <si>
    <t>Country</t>
  </si>
  <si>
    <t>Month</t>
  </si>
  <si>
    <t>1.SUM,COUNT,AVERAGE</t>
  </si>
  <si>
    <t>2.MIN,MAX</t>
  </si>
  <si>
    <t>Minimum</t>
  </si>
  <si>
    <t>Maximum</t>
  </si>
  <si>
    <t>4.SUMIF,COUNTIF</t>
  </si>
  <si>
    <t>count of product with a price less than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</si>
</sst>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  <xf numFmtId="0" fontId="5" fillId="0" borderId="0" xfId="2" applyFont="1"/>
    <xf numFmtId="0" fontId="2" fillId="0" borderId="0" xfId="2" applyFont="1"/>
    <xf numFmtId="0" fontId="6" fillId="0" borderId="0" xfId="2" applyFont="1"/>
  </cellXfs>
  <cellStyles count="3">
    <cellStyle name="Normal" xfId="0" builtinId="0"/>
    <cellStyle name="Normal 2" xfId="1" xr:uid="{E394ADA3-C0BD-4F39-8505-28C622EA158A}"/>
    <cellStyle name="Normal 3" xfId="2" xr:uid="{A6B17167-86F7-4B5A-8CBC-794B0BACBA65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29D2D8-CECE-446D-92BE-0387CA47E33C}" name="Table5" displayName="Table5" ref="A1:J35" totalsRowShown="0" headerRowDxfId="0" dataDxfId="1" headerRowCellStyle="Normal 3" dataCellStyle="Normal 3">
  <autoFilter ref="A1:J35" xr:uid="{3C29D2D8-CECE-446D-92BE-0387CA47E33C}"/>
  <tableColumns count="10">
    <tableColumn id="1" xr3:uid="{876DC565-C051-4AD8-B01F-8A5555D979B0}" name="Product ID" dataDxfId="11" dataCellStyle="Normal 3"/>
    <tableColumn id="2" xr3:uid="{DD4D5A95-782A-4882-BFDB-40D89CCFC858}" name="Product Name" dataDxfId="10" dataCellStyle="Normal 3"/>
    <tableColumn id="3" xr3:uid="{03355989-0DEC-4AAD-B128-03078740C6B3}" name="Brand Name" dataDxfId="9" dataCellStyle="Normal 3"/>
    <tableColumn id="4" xr3:uid="{93DE88F6-8034-4BE5-89E2-2C738001E427}" name="Price ($)" dataDxfId="8" dataCellStyle="Normal 3"/>
    <tableColumn id="5" xr3:uid="{FE371070-8B8A-4EAB-83C5-06392F5F72AB}" name="Quantity" dataDxfId="7" dataCellStyle="Normal 3"/>
    <tableColumn id="6" xr3:uid="{8C3269A3-C65D-4FC2-A9F2-8A5E8792B428}" name="Category" dataDxfId="6" dataCellStyle="Normal 3"/>
    <tableColumn id="7" xr3:uid="{D2D772F9-DF8F-4A42-B3EA-F6CEF52BD8EF}" name="Price Range" dataDxfId="5" dataCellStyle="Normal 3">
      <calculatedColumnFormula>IF(D2&gt;=$P$2,"High price","Standardprice")</calculatedColumnFormula>
    </tableColumn>
    <tableColumn id="8" xr3:uid="{A81F1B13-9451-495E-A2CD-CEE769A2981A}" name="Day" dataDxfId="4" dataCellStyle="Normal 3">
      <calculatedColumnFormula>LEFT(A2,2)</calculatedColumnFormula>
    </tableColumn>
    <tableColumn id="9" xr3:uid="{295F325B-0492-48C7-B6AB-19AAABA50404}" name="Country" dataDxfId="3" dataCellStyle="Normal 3">
      <calculatedColumnFormula>RIGHT(A2,2)</calculatedColumnFormula>
    </tableColumn>
    <tableColumn id="10" xr3:uid="{085EA57B-9092-4D53-92E5-C30488851BBF}" name="Month" dataDxfId="2" dataCellStyle="Normal 3">
      <calculatedColumnFormula>MID(A2,4,3)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30A8AE9-E5A2-4D76-BB51-4BBDEB94B867}" name="Table11" displayName="Table11" ref="A52:E53" headerRowCount="0" totalsRowShown="0">
  <tableColumns count="5">
    <tableColumn id="1" xr3:uid="{8AA45986-D196-42B5-A8EF-122015A1BEBF}" name="Column1"/>
    <tableColumn id="2" xr3:uid="{268C0274-96DE-4FB4-BF3A-167AE98F37BF}" name="Column2"/>
    <tableColumn id="3" xr3:uid="{2F7ACBBB-7604-4E0B-9AFB-5D3D2570BBF2}" name="Column3"/>
    <tableColumn id="4" xr3:uid="{555C3375-8980-4F73-AEAA-1093DCDF53AF}" name="Column4"/>
    <tableColumn id="5" xr3:uid="{AD1F2212-9E1F-40B3-B4A1-F2A481AD1428}" name="Column5">
      <calculatedColumnFormula>COUNTIF(D1:D34,"&lt;100")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D3D4B2-7028-47FD-A846-AE46E9365E5B}" name="Table12" displayName="Table12" ref="A47:B48" headerRowCount="0" totalsRowShown="0">
  <tableColumns count="2">
    <tableColumn id="1" xr3:uid="{F721CB32-B319-4DFA-A61F-142E5D7DC377}" name="Column1"/>
    <tableColumn id="2" xr3:uid="{55FD54BC-B967-419A-A5A6-095FE902DA0F}" name="Column2">
      <calculatedColumnFormula>MAX(D1:D34)</calculatedColumnFormula>
    </tableColumn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F30AF7-DAC3-44AC-A174-B42BF26FF082}" name="Table13" displayName="Table13" ref="A41:C43" headerRowCount="0" totalsRowShown="0">
  <tableColumns count="3">
    <tableColumn id="1" xr3:uid="{77C53B47-65D4-41A7-BA04-BDEE3AA876AD}" name="Column1"/>
    <tableColumn id="2" xr3:uid="{6050991E-763F-4961-9C5D-F4A7BB40766F}" name="Column2"/>
    <tableColumn id="3" xr3:uid="{AB25A39B-4012-44E4-BE2B-46D9D1CF3953}" name="Column3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7C03-4C03-4B3B-888F-076153983E04}">
  <dimension ref="A1:P53"/>
  <sheetViews>
    <sheetView tabSelected="1" topLeftCell="A25" zoomScale="88" zoomScaleNormal="88" workbookViewId="0">
      <selection activeCell="J51" sqref="J51"/>
    </sheetView>
  </sheetViews>
  <sheetFormatPr defaultRowHeight="14.4" x14ac:dyDescent="0.3"/>
  <cols>
    <col min="1" max="1" width="14.44140625" customWidth="1"/>
    <col min="2" max="2" width="19.21875" customWidth="1"/>
    <col min="3" max="3" width="16.5546875" customWidth="1"/>
    <col min="4" max="4" width="12.33203125" customWidth="1"/>
    <col min="5" max="5" width="13.109375" customWidth="1"/>
    <col min="6" max="6" width="12.6640625" customWidth="1"/>
    <col min="7" max="7" width="15.77734375" customWidth="1"/>
    <col min="9" max="9" width="11.44140625" customWidth="1"/>
    <col min="10" max="10" width="10.21875" customWidth="1"/>
  </cols>
  <sheetData>
    <row r="1" spans="1:16" ht="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93</v>
      </c>
      <c r="H1" s="5" t="s">
        <v>98</v>
      </c>
      <c r="I1" s="5" t="s">
        <v>99</v>
      </c>
      <c r="J1" s="5" t="s">
        <v>100</v>
      </c>
      <c r="P1" t="s">
        <v>94</v>
      </c>
    </row>
    <row r="2" spans="1:16" ht="15.6" x14ac:dyDescent="0.3">
      <c r="A2" s="6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6" t="str">
        <f t="shared" ref="G2:G35" si="0">IF(D2&gt;=$P$2,"High price","Standardprice")</f>
        <v>High price</v>
      </c>
      <c r="H2" s="6" t="str">
        <f t="shared" ref="H2:H36" si="1">LEFT(A2,2)</f>
        <v>28</v>
      </c>
      <c r="I2" s="6" t="str">
        <f t="shared" ref="I2:I35" si="2">RIGHT(A2,2)</f>
        <v>US</v>
      </c>
      <c r="J2" s="6" t="str">
        <f t="shared" ref="J2:J35" si="3">MID(A2,4,3)</f>
        <v>JAN</v>
      </c>
      <c r="P2">
        <v>500</v>
      </c>
    </row>
    <row r="3" spans="1:16" ht="15.6" x14ac:dyDescent="0.3">
      <c r="A3" s="6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G3" s="6" t="str">
        <f t="shared" si="0"/>
        <v>Standardprice</v>
      </c>
      <c r="H3" s="6" t="str">
        <f t="shared" si="1"/>
        <v>15</v>
      </c>
      <c r="I3" s="6" t="str">
        <f t="shared" si="2"/>
        <v>US</v>
      </c>
      <c r="J3" s="6" t="str">
        <f t="shared" si="3"/>
        <v>FEB</v>
      </c>
    </row>
    <row r="4" spans="1:16" ht="15.6" x14ac:dyDescent="0.3">
      <c r="A4" s="6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6" t="str">
        <f t="shared" si="0"/>
        <v>Standardprice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</row>
    <row r="5" spans="1:16" ht="15.6" x14ac:dyDescent="0.3">
      <c r="A5" s="6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</row>
    <row r="6" spans="1:16" ht="15.6" x14ac:dyDescent="0.3">
      <c r="A6" s="6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6" t="str">
        <f t="shared" si="0"/>
        <v>Standardprice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</row>
    <row r="7" spans="1:16" ht="15.6" x14ac:dyDescent="0.3">
      <c r="A7" s="6" t="s">
        <v>25</v>
      </c>
      <c r="B7" s="6" t="s">
        <v>26</v>
      </c>
      <c r="C7" s="6" t="s">
        <v>27</v>
      </c>
      <c r="D7" s="6">
        <v>200</v>
      </c>
      <c r="E7" s="6">
        <v>45</v>
      </c>
      <c r="F7" s="6" t="s">
        <v>9</v>
      </c>
      <c r="G7" s="6" t="str">
        <f t="shared" si="0"/>
        <v>Standardprice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</row>
    <row r="8" spans="1:16" ht="15.6" x14ac:dyDescent="0.3">
      <c r="A8" s="6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6" t="str">
        <f t="shared" si="0"/>
        <v>Standardprice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</row>
    <row r="9" spans="1:16" ht="15.6" x14ac:dyDescent="0.3">
      <c r="A9" s="6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  <c r="G9" s="6" t="str">
        <f t="shared" si="0"/>
        <v>Standardprice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</row>
    <row r="10" spans="1:16" ht="15.6" x14ac:dyDescent="0.3">
      <c r="A10" s="6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</row>
    <row r="11" spans="1:16" ht="15.6" x14ac:dyDescent="0.3">
      <c r="A11" s="6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24</v>
      </c>
      <c r="G11" s="6" t="str">
        <f t="shared" si="0"/>
        <v>Standardprice</v>
      </c>
      <c r="H11" s="6" t="str">
        <f t="shared" si="1"/>
        <v>14</v>
      </c>
      <c r="I11" s="6" t="str">
        <f t="shared" si="2"/>
        <v>UK</v>
      </c>
      <c r="J11" s="6" t="str">
        <f t="shared" si="3"/>
        <v>OCT</v>
      </c>
    </row>
    <row r="12" spans="1:16" ht="15.6" x14ac:dyDescent="0.3">
      <c r="A12" s="6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</row>
    <row r="13" spans="1:16" ht="15.6" x14ac:dyDescent="0.3">
      <c r="A13" s="6" t="s">
        <v>42</v>
      </c>
      <c r="B13" s="6" t="s">
        <v>11</v>
      </c>
      <c r="C13" s="6" t="s">
        <v>30</v>
      </c>
      <c r="D13" s="6">
        <v>90</v>
      </c>
      <c r="E13" s="6">
        <v>40</v>
      </c>
      <c r="F13" s="6" t="s">
        <v>13</v>
      </c>
      <c r="G13" s="6" t="str">
        <f t="shared" si="0"/>
        <v>Standardprice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</row>
    <row r="14" spans="1:16" ht="15.6" x14ac:dyDescent="0.3">
      <c r="A14" s="6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6" t="str">
        <f t="shared" si="0"/>
        <v>Standardprice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</row>
    <row r="15" spans="1:16" ht="15.6" x14ac:dyDescent="0.3">
      <c r="A15" s="6" t="s">
        <v>45</v>
      </c>
      <c r="B15" s="6" t="s">
        <v>46</v>
      </c>
      <c r="C15" s="6" t="s">
        <v>47</v>
      </c>
      <c r="D15" s="6">
        <v>150</v>
      </c>
      <c r="E15" s="6">
        <v>15</v>
      </c>
      <c r="F15" s="6" t="s">
        <v>9</v>
      </c>
      <c r="G15" s="6" t="str">
        <f t="shared" si="0"/>
        <v>Standardprice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</row>
    <row r="16" spans="1:16" ht="15.6" x14ac:dyDescent="0.3">
      <c r="A16" s="6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6" t="str">
        <f t="shared" si="0"/>
        <v>Standardprice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spans="1:10" ht="15.6" x14ac:dyDescent="0.3">
      <c r="A17" s="6" t="s">
        <v>50</v>
      </c>
      <c r="B17" s="6" t="s">
        <v>51</v>
      </c>
      <c r="C17" s="6" t="s">
        <v>52</v>
      </c>
      <c r="D17" s="6">
        <v>50</v>
      </c>
      <c r="E17" s="6">
        <v>35</v>
      </c>
      <c r="F17" s="6" t="s">
        <v>53</v>
      </c>
      <c r="G17" s="6" t="str">
        <f t="shared" si="0"/>
        <v>Standardprice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</row>
    <row r="18" spans="1:10" ht="15.6" x14ac:dyDescent="0.3">
      <c r="A18" s="6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6" t="str">
        <f t="shared" si="0"/>
        <v>Standardprice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</row>
    <row r="19" spans="1:10" ht="15.6" x14ac:dyDescent="0.3">
      <c r="A19" s="6" t="s">
        <v>56</v>
      </c>
      <c r="B19" s="6" t="s">
        <v>7</v>
      </c>
      <c r="C19" s="6" t="s">
        <v>57</v>
      </c>
      <c r="D19" s="6">
        <v>980</v>
      </c>
      <c r="E19" s="6">
        <v>10</v>
      </c>
      <c r="F19" s="6" t="s">
        <v>9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f t="shared" si="3"/>
        <v>JAN</v>
      </c>
    </row>
    <row r="20" spans="1:10" ht="15.6" x14ac:dyDescent="0.3">
      <c r="A20" s="6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6" t="str">
        <f t="shared" si="0"/>
        <v>Standardprice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0" ht="15.6" x14ac:dyDescent="0.3">
      <c r="A21" s="6" t="s">
        <v>61</v>
      </c>
      <c r="B21" s="6" t="s">
        <v>62</v>
      </c>
      <c r="C21" s="6" t="s">
        <v>63</v>
      </c>
      <c r="D21" s="6">
        <v>200</v>
      </c>
      <c r="E21" s="6">
        <v>10</v>
      </c>
      <c r="F21" s="6" t="s">
        <v>24</v>
      </c>
      <c r="G21" s="6" t="str">
        <f t="shared" si="0"/>
        <v>Standardprice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</row>
    <row r="22" spans="1:10" ht="15.6" x14ac:dyDescent="0.3">
      <c r="A22" s="6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0" ht="15.6" x14ac:dyDescent="0.3">
      <c r="A23" s="6" t="s">
        <v>67</v>
      </c>
      <c r="B23" s="6" t="s">
        <v>68</v>
      </c>
      <c r="C23" s="6" t="s">
        <v>69</v>
      </c>
      <c r="D23" s="6">
        <v>80</v>
      </c>
      <c r="E23" s="6">
        <v>20</v>
      </c>
      <c r="F23" s="6" t="s">
        <v>17</v>
      </c>
      <c r="G23" s="6" t="str">
        <f t="shared" si="0"/>
        <v>Standardprice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</row>
    <row r="24" spans="1:10" ht="15.6" x14ac:dyDescent="0.3">
      <c r="A24" s="6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6" t="str">
        <f t="shared" si="0"/>
        <v>Standardprice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0" ht="15.6" x14ac:dyDescent="0.3">
      <c r="A25" s="6" t="s">
        <v>50</v>
      </c>
      <c r="B25" s="6" t="s">
        <v>51</v>
      </c>
      <c r="C25" s="6" t="s">
        <v>52</v>
      </c>
      <c r="D25" s="6">
        <v>50</v>
      </c>
      <c r="E25" s="6">
        <v>35</v>
      </c>
      <c r="F25" s="6" t="s">
        <v>53</v>
      </c>
      <c r="G25" s="6" t="str">
        <f t="shared" si="0"/>
        <v>Standardprice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</row>
    <row r="26" spans="1:10" ht="15.6" x14ac:dyDescent="0.3">
      <c r="A26" s="6" t="s">
        <v>73</v>
      </c>
      <c r="B26" s="6" t="s">
        <v>19</v>
      </c>
      <c r="C26" s="6" t="s">
        <v>74</v>
      </c>
      <c r="D26" s="6">
        <v>800</v>
      </c>
      <c r="E26" s="6">
        <v>45</v>
      </c>
      <c r="F26" s="6" t="s">
        <v>9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0" ht="15.6" x14ac:dyDescent="0.3">
      <c r="A27" s="6" t="s">
        <v>75</v>
      </c>
      <c r="B27" s="6" t="s">
        <v>59</v>
      </c>
      <c r="C27" s="6" t="s">
        <v>76</v>
      </c>
      <c r="D27" s="6">
        <v>130</v>
      </c>
      <c r="E27" s="6">
        <v>25</v>
      </c>
      <c r="F27" s="6" t="s">
        <v>13</v>
      </c>
      <c r="G27" s="6" t="str">
        <f t="shared" si="0"/>
        <v>Standardprice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</row>
    <row r="28" spans="1:10" ht="15.6" x14ac:dyDescent="0.3">
      <c r="A28" s="6" t="s">
        <v>77</v>
      </c>
      <c r="B28" s="6" t="s">
        <v>32</v>
      </c>
      <c r="C28" s="6" t="s">
        <v>78</v>
      </c>
      <c r="D28" s="6">
        <v>400</v>
      </c>
      <c r="E28" s="6">
        <v>40</v>
      </c>
      <c r="F28" s="6" t="s">
        <v>17</v>
      </c>
      <c r="G28" s="6" t="str">
        <f t="shared" si="0"/>
        <v>Standardprice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0" ht="15.6" x14ac:dyDescent="0.3">
      <c r="A29" s="6" t="s">
        <v>48</v>
      </c>
      <c r="B29" s="6" t="s">
        <v>26</v>
      </c>
      <c r="C29" s="6" t="s">
        <v>49</v>
      </c>
      <c r="D29" s="6">
        <v>230</v>
      </c>
      <c r="E29" s="6">
        <v>20</v>
      </c>
      <c r="F29" s="6" t="s">
        <v>9</v>
      </c>
      <c r="G29" s="6" t="str">
        <f t="shared" si="0"/>
        <v>Standardprice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</row>
    <row r="30" spans="1:10" ht="15.6" x14ac:dyDescent="0.3">
      <c r="A30" s="6" t="s">
        <v>79</v>
      </c>
      <c r="B30" s="6" t="s">
        <v>80</v>
      </c>
      <c r="C30" s="6" t="s">
        <v>81</v>
      </c>
      <c r="D30" s="6">
        <v>60</v>
      </c>
      <c r="E30" s="6">
        <v>30</v>
      </c>
      <c r="F30" s="6" t="s">
        <v>13</v>
      </c>
      <c r="G30" s="6" t="str">
        <f t="shared" si="0"/>
        <v>Standardprice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0" ht="15.6" x14ac:dyDescent="0.3">
      <c r="A31" s="6" t="s">
        <v>82</v>
      </c>
      <c r="B31" s="6" t="s">
        <v>83</v>
      </c>
      <c r="C31" s="6" t="s">
        <v>84</v>
      </c>
      <c r="D31" s="6">
        <v>40</v>
      </c>
      <c r="E31" s="6">
        <v>10</v>
      </c>
      <c r="F31" s="6" t="s">
        <v>17</v>
      </c>
      <c r="G31" s="6" t="str">
        <f t="shared" si="0"/>
        <v>Standardprice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</row>
    <row r="32" spans="1:10" ht="15.6" x14ac:dyDescent="0.3">
      <c r="A32" s="6" t="s">
        <v>85</v>
      </c>
      <c r="B32" s="6" t="s">
        <v>71</v>
      </c>
      <c r="C32" s="6" t="s">
        <v>86</v>
      </c>
      <c r="D32" s="6">
        <v>130</v>
      </c>
      <c r="E32" s="6">
        <v>5</v>
      </c>
      <c r="F32" s="6" t="s">
        <v>9</v>
      </c>
      <c r="G32" s="6" t="str">
        <f t="shared" si="0"/>
        <v>Standardprice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6" x14ac:dyDescent="0.3">
      <c r="A33" s="6" t="s">
        <v>87</v>
      </c>
      <c r="B33" s="6" t="s">
        <v>88</v>
      </c>
      <c r="C33" s="6" t="s">
        <v>89</v>
      </c>
      <c r="D33" s="6">
        <v>50</v>
      </c>
      <c r="E33" s="6">
        <v>50</v>
      </c>
      <c r="F33" s="6" t="s">
        <v>13</v>
      </c>
      <c r="G33" s="6" t="str">
        <f t="shared" si="0"/>
        <v>Standardprice</v>
      </c>
      <c r="H33" s="6" t="str">
        <f t="shared" si="1"/>
        <v>02</v>
      </c>
      <c r="I33" s="6" t="str">
        <f t="shared" si="2"/>
        <v>CA</v>
      </c>
      <c r="J33" s="6" t="str">
        <f t="shared" si="3"/>
        <v>DEC</v>
      </c>
    </row>
    <row r="34" spans="1:10" ht="15.6" x14ac:dyDescent="0.3">
      <c r="A34" s="6" t="s">
        <v>40</v>
      </c>
      <c r="B34" s="6" t="s">
        <v>7</v>
      </c>
      <c r="C34" s="6" t="s">
        <v>41</v>
      </c>
      <c r="D34" s="6">
        <v>950</v>
      </c>
      <c r="E34" s="6">
        <v>25</v>
      </c>
      <c r="F34" s="6" t="s">
        <v>9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6" x14ac:dyDescent="0.3">
      <c r="A35" s="6" t="s">
        <v>90</v>
      </c>
      <c r="B35" s="6" t="s">
        <v>91</v>
      </c>
      <c r="C35" s="6" t="s">
        <v>92</v>
      </c>
      <c r="D35" s="6">
        <v>100</v>
      </c>
      <c r="E35" s="6">
        <v>20</v>
      </c>
      <c r="F35" s="6" t="s">
        <v>53</v>
      </c>
      <c r="G35" s="6" t="str">
        <f t="shared" si="0"/>
        <v>Standardprice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</row>
    <row r="36" spans="1:10" x14ac:dyDescent="0.3">
      <c r="A36" s="1"/>
      <c r="B36" s="1"/>
      <c r="C36" s="1"/>
      <c r="D36" s="1"/>
      <c r="E36" s="1"/>
      <c r="F36" s="1"/>
      <c r="H36" t="str">
        <f t="shared" si="1"/>
        <v/>
      </c>
    </row>
    <row r="37" spans="1:10" x14ac:dyDescent="0.3">
      <c r="A37" s="1"/>
      <c r="B37" s="1"/>
      <c r="C37" s="1"/>
      <c r="D37" s="1"/>
      <c r="E37" s="1"/>
      <c r="F37" s="1"/>
    </row>
    <row r="38" spans="1:10" ht="18" x14ac:dyDescent="0.35">
      <c r="A38" s="2" t="s">
        <v>101</v>
      </c>
      <c r="B38" s="1"/>
      <c r="C38" s="1"/>
      <c r="D38" s="1"/>
      <c r="E38" s="1"/>
      <c r="F38" s="1"/>
    </row>
    <row r="41" spans="1:10" x14ac:dyDescent="0.3">
      <c r="A41" t="s">
        <v>95</v>
      </c>
      <c r="C41">
        <f>SUM(D2:D35)</f>
        <v>10100</v>
      </c>
    </row>
    <row r="42" spans="1:10" x14ac:dyDescent="0.3">
      <c r="A42" t="s">
        <v>96</v>
      </c>
      <c r="C42">
        <f>COUNT(D2:D35)</f>
        <v>34</v>
      </c>
    </row>
    <row r="43" spans="1:10" x14ac:dyDescent="0.3">
      <c r="A43" t="s">
        <v>97</v>
      </c>
      <c r="C43">
        <f>AVERAGE(D2:D35)</f>
        <v>297.05882352941177</v>
      </c>
    </row>
    <row r="45" spans="1:10" ht="18" x14ac:dyDescent="0.35">
      <c r="A45" s="3" t="s">
        <v>102</v>
      </c>
    </row>
    <row r="47" spans="1:10" x14ac:dyDescent="0.3">
      <c r="A47" t="s">
        <v>103</v>
      </c>
      <c r="B47">
        <f>MIN(D2:D35)</f>
        <v>30</v>
      </c>
    </row>
    <row r="48" spans="1:10" x14ac:dyDescent="0.3">
      <c r="A48" t="s">
        <v>104</v>
      </c>
      <c r="B48">
        <f>MAX(D2:D35)</f>
        <v>1000</v>
      </c>
    </row>
    <row r="50" spans="1:5" ht="18" x14ac:dyDescent="0.35">
      <c r="A50" s="3" t="s">
        <v>105</v>
      </c>
    </row>
    <row r="52" spans="1:5" x14ac:dyDescent="0.3">
      <c r="A52" t="s">
        <v>9</v>
      </c>
      <c r="E52">
        <f>SUMIF(F2:F35,A52,D2:D35)</f>
        <v>8050</v>
      </c>
    </row>
    <row r="53" spans="1:5" ht="15.6" x14ac:dyDescent="0.3">
      <c r="A53" s="4" t="s">
        <v>106</v>
      </c>
      <c r="E53">
        <f>COUNTIF(D2:D35,"&lt;100")</f>
        <v>11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9885CF-F568-4981-BE42-048CE6448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G</dc:creator>
  <cp:lastModifiedBy>Aswathi G</cp:lastModifiedBy>
  <dcterms:created xsi:type="dcterms:W3CDTF">2026-09-10T14:51:15Z</dcterms:created>
  <dcterms:modified xsi:type="dcterms:W3CDTF">2026-09-15T07:36:13Z</dcterms:modified>
</cp:coreProperties>
</file>